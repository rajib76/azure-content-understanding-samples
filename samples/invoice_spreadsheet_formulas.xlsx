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550"/>
      </patternFill>
    </fill>
  </fills>
  <borders count="2">
    <border>
      <left/>
      <right/>
      <top/>
      <bottom/>
      <diagonal/>
    </border>
    <border>
      <left style="thin">
        <color rgb="00AAB4BC"/>
      </left>
      <right style="thin">
        <color rgb="00AAB4BC"/>
      </right>
      <top style="thin">
        <color rgb="00AAB4BC"/>
      </top>
      <bottom style="thin">
        <color rgb="00AAB4B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8" customWidth="1" min="3" max="3"/>
    <col width="13" customWidth="1" min="4" max="4"/>
    <col width="14" customWidth="1" min="5" max="5"/>
  </cols>
  <sheetData>
    <row r="1">
      <c r="A1" s="1" t="inlineStr">
        <is>
          <t>MERIDIAN PAPER &amp; PACKAGING</t>
        </is>
      </c>
      <c r="E1" s="2" t="inlineStr">
        <is>
          <t>INVOICE</t>
        </is>
      </c>
    </row>
    <row r="2">
      <c r="A2" t="inlineStr">
        <is>
          <t>2400 Canal Street</t>
        </is>
      </c>
    </row>
    <row r="3">
      <c r="A3" t="inlineStr">
        <is>
          <t>New Orleans, LA 70119</t>
        </is>
      </c>
    </row>
    <row r="4">
      <c r="A4" t="inlineStr">
        <is>
          <t>ar@meridianpaper.example</t>
        </is>
      </c>
    </row>
    <row r="6">
      <c r="A6" s="3" t="inlineStr">
        <is>
          <t>Invoice Number</t>
        </is>
      </c>
      <c r="B6" t="inlineStr">
        <is>
          <t>MPP-2026-7734</t>
        </is>
      </c>
      <c r="D6" s="3" t="inlineStr">
        <is>
          <t>BILL TO</t>
        </is>
      </c>
    </row>
    <row r="7">
      <c r="A7" s="3" t="inlineStr">
        <is>
          <t>Invoice Date</t>
        </is>
      </c>
      <c r="B7" t="inlineStr">
        <is>
          <t>2026-09-01</t>
        </is>
      </c>
      <c r="D7" t="inlineStr">
        <is>
          <t>Cascade Foods Inc.</t>
        </is>
      </c>
    </row>
    <row r="8">
      <c r="A8" s="3" t="inlineStr">
        <is>
          <t>Due Date</t>
        </is>
      </c>
      <c r="B8" t="inlineStr">
        <is>
          <t>2026-10-16</t>
        </is>
      </c>
      <c r="D8" t="inlineStr">
        <is>
          <t>1750 Willamette Blvd</t>
        </is>
      </c>
    </row>
    <row r="9">
      <c r="A9" s="3" t="inlineStr">
        <is>
          <t>Purchase Order</t>
        </is>
      </c>
      <c r="B9" t="inlineStr">
        <is>
          <t>PO-41288</t>
        </is>
      </c>
      <c r="D9" t="inlineStr">
        <is>
          <t>Eugene, OR 97401</t>
        </is>
      </c>
    </row>
    <row r="10">
      <c r="A10" s="3" t="inlineStr">
        <is>
          <t>Terms</t>
        </is>
      </c>
      <c r="B10" t="inlineStr">
        <is>
          <t>Net 45</t>
        </is>
      </c>
    </row>
    <row r="13">
      <c r="A13" s="4" t="inlineStr">
        <is>
          <t>Item</t>
        </is>
      </c>
      <c r="B13" s="4" t="inlineStr">
        <is>
          <t>Description</t>
        </is>
      </c>
      <c r="C13" s="5" t="inlineStr">
        <is>
          <t>Qty</t>
        </is>
      </c>
      <c r="D13" s="5" t="inlineStr">
        <is>
          <t>Unit Price</t>
        </is>
      </c>
      <c r="E13" s="5" t="inlineStr">
        <is>
          <t>Amount</t>
        </is>
      </c>
    </row>
    <row r="14">
      <c r="A14" s="6" t="inlineStr">
        <is>
          <t>PK-2210</t>
        </is>
      </c>
      <c r="B14" s="6" t="inlineStr">
        <is>
          <t>Corrugated shipping carton, 18x12x10</t>
        </is>
      </c>
      <c r="C14" s="6" t="n">
        <v>480</v>
      </c>
      <c r="D14" s="7" t="n">
        <v>1.42</v>
      </c>
      <c r="E14" s="7">
        <f>C14*D14</f>
        <v/>
      </c>
    </row>
    <row r="15">
      <c r="A15" s="6" t="inlineStr">
        <is>
          <t>PK-3080</t>
        </is>
      </c>
      <c r="B15" s="6" t="inlineStr">
        <is>
          <t>Kraft void fill paper, 1200ft roll</t>
        </is>
      </c>
      <c r="C15" s="6" t="n">
        <v>24</v>
      </c>
      <c r="D15" s="7" t="n">
        <v>38.75</v>
      </c>
      <c r="E15" s="7">
        <f>C15*D15</f>
        <v/>
      </c>
    </row>
    <row r="16">
      <c r="A16" s="6" t="inlineStr">
        <is>
          <t>PK-4415</t>
        </is>
      </c>
      <c r="B16" s="6" t="inlineStr">
        <is>
          <t>Pressure-sensitive label stock, 5k</t>
        </is>
      </c>
      <c r="C16" s="6" t="n">
        <v>12</v>
      </c>
      <c r="D16" s="7" t="n">
        <v>96.40000000000001</v>
      </c>
      <c r="E16" s="7">
        <f>C16*D16</f>
        <v/>
      </c>
    </row>
    <row r="17">
      <c r="A17" s="6" t="inlineStr">
        <is>
          <t>PK-5002</t>
        </is>
      </c>
      <c r="B17" s="6" t="inlineStr">
        <is>
          <t>Reinforced gummed tape, 450ft</t>
        </is>
      </c>
      <c r="C17" s="6" t="n">
        <v>60</v>
      </c>
      <c r="D17" s="7" t="n">
        <v>11.85</v>
      </c>
      <c r="E17" s="7">
        <f>C17*D17</f>
        <v/>
      </c>
    </row>
    <row r="18">
      <c r="A18" s="6" t="inlineStr">
        <is>
          <t>PK-6127</t>
        </is>
      </c>
      <c r="B18" s="6" t="inlineStr">
        <is>
          <t>Stretch wrap film, 80ga, 18in</t>
        </is>
      </c>
      <c r="C18" s="6" t="n">
        <v>36</v>
      </c>
      <c r="D18" s="7" t="n">
        <v>22.1</v>
      </c>
      <c r="E18" s="7">
        <f>C18*D18</f>
        <v/>
      </c>
    </row>
    <row r="20">
      <c r="D20" s="8" t="inlineStr">
        <is>
          <t>Subtotal</t>
        </is>
      </c>
      <c r="E20" s="9">
        <f>SUM(E14:E18)</f>
        <v/>
      </c>
    </row>
    <row r="21">
      <c r="D21" s="8" t="inlineStr">
        <is>
          <t>Freight</t>
        </is>
      </c>
      <c r="E21" s="9">
        <f>185.50</f>
        <v/>
      </c>
    </row>
    <row r="22">
      <c r="D22" s="8" t="inlineStr">
        <is>
          <t>Sales Tax (9.45%)</t>
        </is>
      </c>
      <c r="E22" s="9">
        <f>ROUND((SUM(E14:E18)+185.5)*0.0945,2)</f>
        <v/>
      </c>
    </row>
    <row r="23">
      <c r="D23" s="8" t="inlineStr">
        <is>
          <t>TOTAL DUE</t>
        </is>
      </c>
      <c r="E23" s="9">
        <f>SUM(E14:E18)+185.5+ROUND((SUM(E14:E18)+185.5)*0.0945,2)</f>
        <v/>
      </c>
    </row>
    <row r="25">
      <c r="A25" t="inlineStr">
        <is>
          <t>Remit to: Meridian Paper &amp; Packaging, Account 8830-22471, Routing 065000090</t>
        </is>
      </c>
    </row>
    <row r="26">
      <c r="A26" t="inlineStr">
        <is>
          <t>Currency: all amounts in US dollars.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2026-09-12T04:12:17Z</dcterms:created>
  <dcterms:modified xsi:type="dcterms:W3CDTF">2026-09-12T04:12:17Z</dcterms:modified>
</cp:coreProperties>
</file>